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earch Queries" sheetId="2" state="visible" r:id="rId4"/>
    <sheet name="Mining 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<sst xmlns="http://schemas.openxmlformats.org/spreadsheetml/2006/main" count="144" uniqueCount="118">
  <si>
    <t xml:space="preserve">LinkedIn Software-Mining Template</t>
  </si>
  <si>
    <t xml:space="preserve">Validation Phase -- Step 2 -- Caprock / WellPlug</t>
  </si>
  <si>
    <t xml:space="preserve">GOAL</t>
  </si>
  <si>
    <t xml:space="preserve">Build a 50-row map of which Texas oil &amp; gas operators use which operations software. Use this to (a) gauge the addressable wedge for Caprock and (b) seed cold-outreach lists.</t>
  </si>
  <si>
    <t xml:space="preserve">BUDGET</t>
  </si>
  <si>
    <t xml:space="preserve">Spend ~3 hours total. If you hit 50 rows in 90 min, stop -- the next marginal row is worth less than the next marginal call.</t>
  </si>
  <si>
    <t xml:space="preserve">WORKFLOW</t>
  </si>
  <si>
    <t xml:space="preserve">1. Open the 'Search Queries' tab. There are four surfaces: Google site-search, LinkedIn-native (simplified), vendor company pages, and LinkedIn Posts URLs. Start with Google site-search and vendor company pages -- those have the highest yield-per-minute. LinkedIn-native search alone returns very little since LinkedIn disabled Boolean syntax for free accounts.</t>
  </si>
  <si>
    <t xml:space="preserve">2. For Google site-search: paste the query into Google, click each profile link in results. For vendor company pages: open the URL, click 'People', read each Customer Success / Sales bio for operator names they cover.</t>
  </si>
  <si>
    <t xml:space="preserve">3. For each hit, log a row in 'Mining Log' with operator, software, URL, role, confidence, and any notes worth remembering.</t>
  </si>
  <si>
    <t xml:space="preserve">4. The 'Summary' tab auto-tallies adoption -- check it as you go to spot which software is over- or under-represented.</t>
  </si>
  <si>
    <t xml:space="preserve">CONFIDENCE GUIDE</t>
  </si>
  <si>
    <t xml:space="preserve">high  -- direct quote from a current employee profile or post</t>
  </si>
  <si>
    <t xml:space="preserve">med   -- inferred from job title, tool listed in Skills, or company About</t>
  </si>
  <si>
    <t xml:space="preserve">low   -- third-party mention, conference photo, or vendor case study</t>
  </si>
  <si>
    <t xml:space="preserve">WHEN TO STOP</t>
  </si>
  <si>
    <t xml:space="preserve">* You hit 50 rows, OR</t>
  </si>
  <si>
    <t xml:space="preserve">* You spent 3 hours and have at least 30 rows, OR</t>
  </si>
  <si>
    <t xml:space="preserve">* You can name the top 3 most-adopted tools with &gt;5 high-confidence rows each. Whichever comes first.</t>
  </si>
  <si>
    <t xml:space="preserve">WHAT TO DO WITH THE RESULT</t>
  </si>
  <si>
    <t xml:space="preserve">Hand the 50-row list to the fractional advisor (step 4) and to the first 2 expert-network calls (step 3). Ask: 'do these tools show up in your engagements?' This is how you turn a desk exercise into a validated wedge.</t>
  </si>
  <si>
    <t xml:space="preserve">Search Queries</t>
  </si>
  <si>
    <t xml:space="preserve">Four surfaces. Booleans no longer work on LinkedIn-free search; use Google site-search and vendor company pages instead.</t>
  </si>
  <si>
    <t xml:space="preserve">#</t>
  </si>
  <si>
    <t xml:space="preserve">Label</t>
  </si>
  <si>
    <t xml:space="preserve">Query / URL</t>
  </si>
  <si>
    <t xml:space="preserve">How to use</t>
  </si>
  <si>
    <t xml:space="preserve">Greasebook -- Google site-search</t>
  </si>
  <si>
    <t xml:space="preserve">site:linkedin.com/in/ "Greasebook" Texas</t>
  </si>
  <si>
    <t xml:space="preserve">Paste into Google. Click each profile result.</t>
  </si>
  <si>
    <t xml:space="preserve">WolfePak -- Google site-search</t>
  </si>
  <si>
    <t xml:space="preserve">site:linkedin.com/in/ "WolfePak" (Texas OR Permian)</t>
  </si>
  <si>
    <t xml:space="preserve">Quorum -- Google site-search</t>
  </si>
  <si>
    <t xml:space="preserve">site:linkedin.com/in/ "Quorum" "oil and gas" Texas</t>
  </si>
  <si>
    <t xml:space="preserve">Enverus -- Google site-search</t>
  </si>
  <si>
    <t xml:space="preserve">site:linkedin.com/in/ "Enverus" Texas operator</t>
  </si>
  <si>
    <t xml:space="preserve">PakEnergy -- Google site-search</t>
  </si>
  <si>
    <t xml:space="preserve">site:linkedin.com/in/ "PakEnergy" Texas</t>
  </si>
  <si>
    <t xml:space="preserve">Plugging / P&amp;A -- Google site-search</t>
  </si>
  <si>
    <t xml:space="preserve">site:linkedin.com/in/ "plugging" Texas operator</t>
  </si>
  <si>
    <t xml:space="preserve">Posts mentioning Greasebook -- Google</t>
  </si>
  <si>
    <t xml:space="preserve">site:linkedin.com/posts "Greasebook" Texas</t>
  </si>
  <si>
    <t xml:space="preserve">Paste into Google. Surfaces public posts mentioning the tool.</t>
  </si>
  <si>
    <t xml:space="preserve">Greasebook -- LinkedIn search</t>
  </si>
  <si>
    <t xml:space="preserve">Greasebook</t>
  </si>
  <si>
    <t xml:space="preserve">Paste into LinkedIn search. UI: Location=Texas, Industry=Oil and Gas.</t>
  </si>
  <si>
    <t xml:space="preserve">WolfePak -- LinkedIn search</t>
  </si>
  <si>
    <t xml:space="preserve">WolfePak</t>
  </si>
  <si>
    <t xml:space="preserve">Quorum -- LinkedIn search</t>
  </si>
  <si>
    <t xml:space="preserve">Quorum oil and gas</t>
  </si>
  <si>
    <t xml:space="preserve">Paste into LinkedIn search. UI: Location=Texas.</t>
  </si>
  <si>
    <t xml:space="preserve">Enverus -- LinkedIn search</t>
  </si>
  <si>
    <t xml:space="preserve">Enverus</t>
  </si>
  <si>
    <t xml:space="preserve">PakEnergy -- LinkedIn search</t>
  </si>
  <si>
    <t xml:space="preserve">PakEnergy</t>
  </si>
  <si>
    <t xml:space="preserve">Greasebook employees</t>
  </si>
  <si>
    <t xml:space="preserve">https://www.linkedin.com/company/greasebook/people/</t>
  </si>
  <si>
    <t xml:space="preserve">Open URL. Read Customer Success / Sales bios for operator names.</t>
  </si>
  <si>
    <t xml:space="preserve">WolfePak employees</t>
  </si>
  <si>
    <t xml:space="preserve">https://www.linkedin.com/company/wolfepak-software/people/</t>
  </si>
  <si>
    <t xml:space="preserve">Quorum Software employees</t>
  </si>
  <si>
    <t xml:space="preserve">https://www.linkedin.com/company/quorum-software/people/</t>
  </si>
  <si>
    <t xml:space="preserve">Enverus employees</t>
  </si>
  <si>
    <t xml:space="preserve">https://www.linkedin.com/company/enverus/people/</t>
  </si>
  <si>
    <t xml:space="preserve">PakEnergy employees</t>
  </si>
  <si>
    <t xml:space="preserve">https://www.linkedin.com/company/pakenergy/people/</t>
  </si>
  <si>
    <t xml:space="preserve">Greasebook -- LinkedIn Posts</t>
  </si>
  <si>
    <t xml:space="preserve">https://www.linkedin.com/search/results/content/?keywords=Greasebook</t>
  </si>
  <si>
    <t xml:space="preserve">Open URL. Apply Posted-by-1st-and-2nd-connections or Past-month filter.</t>
  </si>
  <si>
    <t xml:space="preserve">Plugging Texas -- LinkedIn Posts</t>
  </si>
  <si>
    <t xml:space="preserve">https://www.linkedin.com/search/results/content/?keywords=plugging%20Texas%20operator</t>
  </si>
  <si>
    <t xml:space="preserve">Open URL. Catch operator-side complaints / RRC compliance posts.</t>
  </si>
  <si>
    <t xml:space="preserve">operator_name</t>
  </si>
  <si>
    <t xml:space="preserve">software_mentioned</t>
  </si>
  <si>
    <t xml:space="preserve">source_url</t>
  </si>
  <si>
    <t xml:space="preserve">role_title</t>
  </si>
  <si>
    <t xml:space="preserve">confidence</t>
  </si>
  <si>
    <t xml:space="preserve">notes</t>
  </si>
  <si>
    <t xml:space="preserve">date_added</t>
  </si>
  <si>
    <t xml:space="preserve">Endeavor Energy Resources</t>
  </si>
  <si>
    <t xml:space="preserve">Midland-based independent. Look up: production engineers, regulatory leads. Public RRC operator.</t>
  </si>
  <si>
    <t xml:space="preserve">2026-05-06</t>
  </si>
  <si>
    <t xml:space="preserve">Mewbourne Oil Company</t>
  </si>
  <si>
    <t xml:space="preserve">Tyler-based; large acreage in Permian + Anadarko. Look up: completions, regulatory.</t>
  </si>
  <si>
    <t xml:space="preserve">Crownquest Operating</t>
  </si>
  <si>
    <t xml:space="preserve">Midland independent; mid-size Permian. Look up: production foreman, controller.</t>
  </si>
  <si>
    <t xml:space="preserve">BTA Oil Producers</t>
  </si>
  <si>
    <t xml:space="preserve">Midland-based; smaller independent. Look up: ops manager, field super.</t>
  </si>
  <si>
    <t xml:space="preserve">Texland Petroleum</t>
  </si>
  <si>
    <t xml:space="preserve">Fort Worth-based; legacy Permian operator. Look up: VP ops, regulatory.</t>
  </si>
  <si>
    <t xml:space="preserve">Cox Operating</t>
  </si>
  <si>
    <t xml:space="preserve">Multiple basins incl. Texas. Look up: field super, P&amp;A coordinator.</t>
  </si>
  <si>
    <t xml:space="preserve">Riley Exploration Permian</t>
  </si>
  <si>
    <t xml:space="preserve">NM/TX overlap operator. Look up: completions engineer, regulatory.</t>
  </si>
  <si>
    <t xml:space="preserve">Ring Energy</t>
  </si>
  <si>
    <t xml:space="preserve">Central Basin Platform operator. Look up: production manager, controller.</t>
  </si>
  <si>
    <t xml:space="preserve">Vital Energy</t>
  </si>
  <si>
    <t xml:space="preserve">Midland-based independent (formerly Laredo Petroleum). Look up: regulatory, ops.</t>
  </si>
  <si>
    <t xml:space="preserve">Matador Resources</t>
  </si>
  <si>
    <t xml:space="preserve">Dallas-based; Delaware Basin focused. Look up: regulatory, completions.</t>
  </si>
  <si>
    <t xml:space="preserve">Adoption Summary</t>
  </si>
  <si>
    <t xml:space="preserve">Auto-tallies from the Mining Log. Refreshes when you save.</t>
  </si>
  <si>
    <t xml:space="preserve">Software</t>
  </si>
  <si>
    <t xml:space="preserve">Mentions</t>
  </si>
  <si>
    <t xml:space="preserve">% of logged</t>
  </si>
  <si>
    <t xml:space="preserve">Confidence</t>
  </si>
  <si>
    <t xml:space="preserve">Rows</t>
  </si>
  <si>
    <t xml:space="preserve">high</t>
  </si>
  <si>
    <t xml:space="preserve">med</t>
  </si>
  <si>
    <t xml:space="preserve">Quorum</t>
  </si>
  <si>
    <t xml:space="preserve">low</t>
  </si>
  <si>
    <t xml:space="preserve">Spreadsheet</t>
  </si>
  <si>
    <t xml:space="preserve">Other</t>
  </si>
  <si>
    <t xml:space="preserve">Unknown</t>
  </si>
  <si>
    <t xml:space="preserve">Total logged</t>
  </si>
  <si>
    <t xml:space="preserve">Progress</t>
  </si>
  <si>
    <t xml:space="preserve">of 50</t>
  </si>
  <si>
    <t xml:space="preserve">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</si>
</sst>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iningLog" displayName="MiningLog" ref="A1:G51" headerRowCount="1" totalsRowCount="0" totalsRowShown="0">
  <autoFilter ref="A1:G51"/>
  <tableColumns count="7">
    <tableColumn id="1" name="operator_name"/>
    <tableColumn id="2" name="software_mentioned"/>
    <tableColumn id="3" name="source_url"/>
    <tableColumn id="4" name="role_title"/>
    <tableColumn id="5" name="confidence"/>
    <tableColumn id="6" name="notes"/>
    <tableColumn id="7" name="date_add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6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52.2" hidden="false" customHeight="false" outlineLevel="0" collapsed="false">
      <c r="A11" s="3" t="s">
        <v>7</v>
      </c>
    </row>
    <row r="12" customFormat="false" ht="39.55" hidden="false" customHeight="false" outlineLevel="0" collapsed="false">
      <c r="A12" s="3" t="s">
        <v>8</v>
      </c>
    </row>
    <row r="13" customFormat="false" ht="26.85" hidden="false" customHeight="false" outlineLevel="0" collapsed="false">
      <c r="A13" s="3" t="s">
        <v>9</v>
      </c>
    </row>
    <row r="14" customFormat="false" ht="26.8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19</v>
      </c>
    </row>
    <row r="27" customFormat="false" ht="26.85" hidden="false" customHeight="false" outlineLevel="0" collapsed="false">
      <c r="A27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65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21</v>
      </c>
      <c r="B1" s="5"/>
      <c r="C1" s="5"/>
      <c r="D1" s="5"/>
    </row>
    <row r="2" customFormat="false" ht="15" hidden="false" customHeight="false" outlineLevel="0" collapsed="false">
      <c r="A2" s="2" t="s">
        <v>22</v>
      </c>
      <c r="B2" s="5"/>
      <c r="C2" s="5"/>
      <c r="D2" s="5"/>
    </row>
    <row r="3" customFormat="false" ht="15" hidden="false" customHeight="false" outlineLevel="0" collapsed="false">
      <c r="A3" s="5"/>
      <c r="B3" s="5"/>
      <c r="C3" s="5"/>
      <c r="D3" s="5"/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26</v>
      </c>
    </row>
    <row r="5" customFormat="false" ht="37.5" hidden="false" customHeight="true" outlineLevel="0" collapsed="false">
      <c r="A5" s="7" t="n">
        <v>1</v>
      </c>
      <c r="B5" s="8" t="s">
        <v>27</v>
      </c>
      <c r="C5" s="8" t="s">
        <v>28</v>
      </c>
      <c r="D5" s="8" t="s">
        <v>29</v>
      </c>
    </row>
    <row r="6" customFormat="false" ht="37.5" hidden="false" customHeight="true" outlineLevel="0" collapsed="false">
      <c r="A6" s="9" t="n">
        <v>2</v>
      </c>
      <c r="B6" s="10" t="s">
        <v>30</v>
      </c>
      <c r="C6" s="10" t="s">
        <v>31</v>
      </c>
      <c r="D6" s="10" t="s">
        <v>29</v>
      </c>
    </row>
    <row r="7" customFormat="false" ht="37.5" hidden="false" customHeight="true" outlineLevel="0" collapsed="false">
      <c r="A7" s="7" t="n">
        <v>3</v>
      </c>
      <c r="B7" s="8" t="s">
        <v>32</v>
      </c>
      <c r="C7" s="8" t="s">
        <v>33</v>
      </c>
      <c r="D7" s="8" t="s">
        <v>29</v>
      </c>
    </row>
    <row r="8" customFormat="false" ht="37.5" hidden="false" customHeight="true" outlineLevel="0" collapsed="false">
      <c r="A8" s="9" t="n">
        <v>4</v>
      </c>
      <c r="B8" s="10" t="s">
        <v>34</v>
      </c>
      <c r="C8" s="10" t="s">
        <v>35</v>
      </c>
      <c r="D8" s="10" t="s">
        <v>29</v>
      </c>
    </row>
    <row r="9" customFormat="false" ht="37.5" hidden="false" customHeight="true" outlineLevel="0" collapsed="false">
      <c r="A9" s="7" t="n">
        <v>5</v>
      </c>
      <c r="B9" s="8" t="s">
        <v>36</v>
      </c>
      <c r="C9" s="8" t="s">
        <v>37</v>
      </c>
      <c r="D9" s="8" t="s">
        <v>29</v>
      </c>
    </row>
    <row r="10" customFormat="false" ht="37.5" hidden="false" customHeight="true" outlineLevel="0" collapsed="false">
      <c r="A10" s="9" t="n">
        <v>6</v>
      </c>
      <c r="B10" s="10" t="s">
        <v>38</v>
      </c>
      <c r="C10" s="10" t="s">
        <v>39</v>
      </c>
      <c r="D10" s="10" t="s">
        <v>29</v>
      </c>
    </row>
    <row r="11" customFormat="false" ht="37.5" hidden="false" customHeight="true" outlineLevel="0" collapsed="false">
      <c r="A11" s="7" t="n">
        <v>7</v>
      </c>
      <c r="B11" s="8" t="s">
        <v>40</v>
      </c>
      <c r="C11" s="8" t="s">
        <v>41</v>
      </c>
      <c r="D11" s="8" t="s">
        <v>42</v>
      </c>
    </row>
    <row r="12" customFormat="false" ht="37.5" hidden="false" customHeight="true" outlineLevel="0" collapsed="false">
      <c r="A12" s="9" t="n">
        <v>8</v>
      </c>
      <c r="B12" s="10" t="s">
        <v>43</v>
      </c>
      <c r="C12" s="10" t="s">
        <v>44</v>
      </c>
      <c r="D12" s="10" t="s">
        <v>45</v>
      </c>
    </row>
    <row r="13" customFormat="false" ht="37.5" hidden="false" customHeight="true" outlineLevel="0" collapsed="false">
      <c r="A13" s="7" t="n">
        <v>9</v>
      </c>
      <c r="B13" s="8" t="s">
        <v>46</v>
      </c>
      <c r="C13" s="8" t="s">
        <v>47</v>
      </c>
      <c r="D13" s="8" t="s">
        <v>45</v>
      </c>
    </row>
    <row r="14" customFormat="false" ht="37.5" hidden="false" customHeight="true" outlineLevel="0" collapsed="false">
      <c r="A14" s="9" t="n">
        <v>10</v>
      </c>
      <c r="B14" s="10" t="s">
        <v>48</v>
      </c>
      <c r="C14" s="10" t="s">
        <v>49</v>
      </c>
      <c r="D14" s="10" t="s">
        <v>50</v>
      </c>
    </row>
    <row r="15" customFormat="false" ht="37.5" hidden="false" customHeight="true" outlineLevel="0" collapsed="false">
      <c r="A15" s="7" t="n">
        <v>11</v>
      </c>
      <c r="B15" s="8" t="s">
        <v>51</v>
      </c>
      <c r="C15" s="8" t="s">
        <v>52</v>
      </c>
      <c r="D15" s="8" t="s">
        <v>45</v>
      </c>
    </row>
    <row r="16" customFormat="false" ht="37.5" hidden="false" customHeight="true" outlineLevel="0" collapsed="false">
      <c r="A16" s="9" t="n">
        <v>12</v>
      </c>
      <c r="B16" s="10" t="s">
        <v>53</v>
      </c>
      <c r="C16" s="10" t="s">
        <v>54</v>
      </c>
      <c r="D16" s="10" t="s">
        <v>45</v>
      </c>
    </row>
    <row r="17" customFormat="false" ht="37.5" hidden="false" customHeight="true" outlineLevel="0" collapsed="false">
      <c r="A17" s="7" t="n">
        <v>13</v>
      </c>
      <c r="B17" s="8" t="s">
        <v>55</v>
      </c>
      <c r="C17" s="8" t="s">
        <v>56</v>
      </c>
      <c r="D17" s="8" t="s">
        <v>57</v>
      </c>
    </row>
    <row r="18" customFormat="false" ht="37.5" hidden="false" customHeight="true" outlineLevel="0" collapsed="false">
      <c r="A18" s="9" t="n">
        <v>14</v>
      </c>
      <c r="B18" s="10" t="s">
        <v>58</v>
      </c>
      <c r="C18" s="10" t="s">
        <v>59</v>
      </c>
      <c r="D18" s="10" t="s">
        <v>57</v>
      </c>
    </row>
    <row r="19" customFormat="false" ht="37.5" hidden="false" customHeight="true" outlineLevel="0" collapsed="false">
      <c r="A19" s="7" t="n">
        <v>15</v>
      </c>
      <c r="B19" s="8" t="s">
        <v>60</v>
      </c>
      <c r="C19" s="8" t="s">
        <v>61</v>
      </c>
      <c r="D19" s="8" t="s">
        <v>57</v>
      </c>
    </row>
    <row r="20" customFormat="false" ht="37.5" hidden="false" customHeight="true" outlineLevel="0" collapsed="false">
      <c r="A20" s="9" t="n">
        <v>16</v>
      </c>
      <c r="B20" s="10" t="s">
        <v>62</v>
      </c>
      <c r="C20" s="10" t="s">
        <v>63</v>
      </c>
      <c r="D20" s="10" t="s">
        <v>57</v>
      </c>
    </row>
    <row r="21" customFormat="false" ht="37.5" hidden="false" customHeight="true" outlineLevel="0" collapsed="false">
      <c r="A21" s="7" t="n">
        <v>17</v>
      </c>
      <c r="B21" s="8" t="s">
        <v>64</v>
      </c>
      <c r="C21" s="8" t="s">
        <v>65</v>
      </c>
      <c r="D21" s="8" t="s">
        <v>57</v>
      </c>
    </row>
    <row r="22" customFormat="false" ht="37.5" hidden="false" customHeight="true" outlineLevel="0" collapsed="false">
      <c r="A22" s="9" t="n">
        <v>18</v>
      </c>
      <c r="B22" s="10" t="s">
        <v>66</v>
      </c>
      <c r="C22" s="10" t="s">
        <v>67</v>
      </c>
      <c r="D22" s="10" t="s">
        <v>68</v>
      </c>
    </row>
    <row r="23" customFormat="false" ht="37.5" hidden="false" customHeight="true" outlineLevel="0" collapsed="false">
      <c r="A23" s="7" t="n">
        <v>19</v>
      </c>
      <c r="B23" s="8" t="s">
        <v>69</v>
      </c>
      <c r="C23" s="8" t="s">
        <v>70</v>
      </c>
      <c r="D23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</row>
    <row r="2" customFormat="false" ht="26.85" hidden="false" customHeight="false" outlineLevel="0" collapsed="false">
      <c r="A2" s="8" t="s">
        <v>79</v>
      </c>
      <c r="B2" s="8"/>
      <c r="C2" s="8"/>
      <c r="D2" s="8"/>
      <c r="E2" s="8"/>
      <c r="F2" s="8" t="s">
        <v>80</v>
      </c>
      <c r="G2" s="8" t="s">
        <v>81</v>
      </c>
    </row>
    <row r="3" customFormat="false" ht="26.85" hidden="false" customHeight="false" outlineLevel="0" collapsed="false">
      <c r="A3" s="8" t="s">
        <v>82</v>
      </c>
      <c r="B3" s="8"/>
      <c r="C3" s="8"/>
      <c r="D3" s="8"/>
      <c r="E3" s="8"/>
      <c r="F3" s="8" t="s">
        <v>83</v>
      </c>
      <c r="G3" s="8" t="s">
        <v>81</v>
      </c>
    </row>
    <row r="4" customFormat="false" ht="26.85" hidden="false" customHeight="false" outlineLevel="0" collapsed="false">
      <c r="A4" s="8" t="s">
        <v>84</v>
      </c>
      <c r="B4" s="8"/>
      <c r="C4" s="8"/>
      <c r="D4" s="8"/>
      <c r="E4" s="8"/>
      <c r="F4" s="8" t="s">
        <v>85</v>
      </c>
      <c r="G4" s="8" t="s">
        <v>81</v>
      </c>
    </row>
    <row r="5" customFormat="false" ht="26.85" hidden="false" customHeight="false" outlineLevel="0" collapsed="false">
      <c r="A5" s="8" t="s">
        <v>86</v>
      </c>
      <c r="B5" s="8"/>
      <c r="C5" s="8"/>
      <c r="D5" s="8"/>
      <c r="E5" s="8"/>
      <c r="F5" s="8" t="s">
        <v>87</v>
      </c>
      <c r="G5" s="8" t="s">
        <v>81</v>
      </c>
    </row>
    <row r="6" customFormat="false" ht="26.85" hidden="false" customHeight="false" outlineLevel="0" collapsed="false">
      <c r="A6" s="8" t="s">
        <v>88</v>
      </c>
      <c r="B6" s="8"/>
      <c r="C6" s="8"/>
      <c r="D6" s="8"/>
      <c r="E6" s="8"/>
      <c r="F6" s="8" t="s">
        <v>89</v>
      </c>
      <c r="G6" s="8" t="s">
        <v>81</v>
      </c>
    </row>
    <row r="7" customFormat="false" ht="26.85" hidden="false" customHeight="false" outlineLevel="0" collapsed="false">
      <c r="A7" s="8" t="s">
        <v>90</v>
      </c>
      <c r="B7" s="8"/>
      <c r="C7" s="8"/>
      <c r="D7" s="8"/>
      <c r="E7" s="8"/>
      <c r="F7" s="8" t="s">
        <v>91</v>
      </c>
      <c r="G7" s="8" t="s">
        <v>81</v>
      </c>
    </row>
    <row r="8" customFormat="false" ht="26.85" hidden="false" customHeight="false" outlineLevel="0" collapsed="false">
      <c r="A8" s="8" t="s">
        <v>92</v>
      </c>
      <c r="B8" s="8"/>
      <c r="C8" s="8"/>
      <c r="D8" s="8"/>
      <c r="E8" s="8"/>
      <c r="F8" s="8" t="s">
        <v>93</v>
      </c>
      <c r="G8" s="8" t="s">
        <v>81</v>
      </c>
    </row>
    <row r="9" customFormat="false" ht="26.85" hidden="false" customHeight="false" outlineLevel="0" collapsed="false">
      <c r="A9" s="8" t="s">
        <v>94</v>
      </c>
      <c r="B9" s="8"/>
      <c r="C9" s="8"/>
      <c r="D9" s="8"/>
      <c r="E9" s="8"/>
      <c r="F9" s="8" t="s">
        <v>95</v>
      </c>
      <c r="G9" s="8" t="s">
        <v>81</v>
      </c>
    </row>
    <row r="10" customFormat="false" ht="26.85" hidden="false" customHeight="false" outlineLevel="0" collapsed="false">
      <c r="A10" s="8" t="s">
        <v>96</v>
      </c>
      <c r="B10" s="8"/>
      <c r="C10" s="8"/>
      <c r="D10" s="8"/>
      <c r="E10" s="8"/>
      <c r="F10" s="8" t="s">
        <v>97</v>
      </c>
      <c r="G10" s="8" t="s">
        <v>81</v>
      </c>
    </row>
    <row r="11" customFormat="false" ht="26.85" hidden="false" customHeight="false" outlineLevel="0" collapsed="false">
      <c r="A11" s="8" t="s">
        <v>98</v>
      </c>
      <c r="B11" s="8"/>
      <c r="C11" s="8"/>
      <c r="D11" s="8"/>
      <c r="E11" s="8"/>
      <c r="F11" s="8" t="s">
        <v>99</v>
      </c>
      <c r="G11" s="8" t="s">
        <v>81</v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</sheetData>
  <conditionalFormatting sqref="E2:E51">
    <cfRule type="cellIs" priority="2" operator="equal" aboveAverage="0" equalAverage="0" bottom="0" percent="0" rank="0" text="" dxfId="3">
      <formula>"high"</formula>
    </cfRule>
    <cfRule type="cellIs" priority="3" operator="equal" aboveAverage="0" equalAverage="0" bottom="0" percent="0" rank="0" text="" dxfId="4">
      <formula>"med"</formula>
    </cfRule>
    <cfRule type="cellIs" priority="4" operator="equal" aboveAverage="0" equalAverage="0" bottom="0" percent="0" rank="0" text="" dxfId="5">
      <formula>"low"</formula>
    </cfRule>
  </conditionalFormatting>
  <dataValidations count="3">
    <dataValidation allowBlank="true" errorStyle="stop" operator="between" prompt="Pick from the dropdown." promptTitle="Software" showDropDown="false" showErrorMessage="false" showInputMessage="false" sqref="B2:B51" type="list">
      <formula1>"Greasebook,WolfePak,Quorum,Enverus,PakEnergy,Spreadsheet,Other,Unknown"</formula1>
      <formula2>0</formula2>
    </dataValidation>
    <dataValidation allowBlank="true" errorStyle="stop" operator="between" prompt="high = direct quote; med = inferred; low = third-party." promptTitle="Confidence" showDropDown="false" showErrorMessage="false" showInputMessage="false" sqref="E2:E51" type="list">
      <formula1>"high,med,low"</formula1>
      <formula2>0</formula2>
    </dataValidation>
    <dataValidation allowBlank="true" errorStyle="stop" operator="between" prompt="The day you logged this row." promptTitle="Date added" showDropDown="false" showErrorMessage="false" showInputMessage="false" sqref="G2:G51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100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2" t="s">
        <v>101</v>
      </c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6" t="s">
        <v>102</v>
      </c>
      <c r="B4" s="6" t="s">
        <v>103</v>
      </c>
      <c r="C4" s="6" t="s">
        <v>104</v>
      </c>
      <c r="D4" s="5"/>
      <c r="E4" s="6" t="s">
        <v>105</v>
      </c>
      <c r="F4" s="6" t="s">
        <v>106</v>
      </c>
      <c r="G4" s="6" t="s">
        <v>104</v>
      </c>
    </row>
    <row r="5" customFormat="false" ht="15" hidden="false" customHeight="false" outlineLevel="0" collapsed="false">
      <c r="A5" s="11" t="s">
        <v>44</v>
      </c>
      <c r="B5" s="7" t="n">
        <f aca="false">COUNTIF('Mining Log'!B2:B51,"Greasebook")</f>
        <v>0</v>
      </c>
      <c r="C5" s="12" t="n">
        <f aca="false">IF(COUNTA('Mining Log'!B2:B51)=0,0,B5/COUNTA('Mining Log'!B2:B51))</f>
        <v>0</v>
      </c>
      <c r="D5" s="5"/>
      <c r="E5" s="11" t="s">
        <v>107</v>
      </c>
      <c r="F5" s="7" t="n">
        <f aca="false">COUNTIF('Mining Log'!E2:E51,"high")</f>
        <v>0</v>
      </c>
      <c r="G5" s="12" t="n">
        <f aca="false">IF(COUNTA('Mining Log'!B2:B51)=0,0,F5/COUNTA('Mining Log'!B2:B51))</f>
        <v>0</v>
      </c>
    </row>
    <row r="6" customFormat="false" ht="15" hidden="false" customHeight="false" outlineLevel="0" collapsed="false">
      <c r="A6" s="13" t="s">
        <v>47</v>
      </c>
      <c r="B6" s="9" t="n">
        <f aca="false">COUNTIF('Mining Log'!B2:B51,"WolfePak")</f>
        <v>0</v>
      </c>
      <c r="C6" s="14" t="n">
        <f aca="false">IF(COUNTA('Mining Log'!B2:B51)=0,0,B6/COUNTA('Mining Log'!B2:B51))</f>
        <v>0</v>
      </c>
      <c r="D6" s="5"/>
      <c r="E6" s="11" t="s">
        <v>108</v>
      </c>
      <c r="F6" s="7" t="n">
        <f aca="false">COUNTIF('Mining Log'!E2:E51,"med")</f>
        <v>0</v>
      </c>
      <c r="G6" s="12" t="n">
        <f aca="false">IF(COUNTA('Mining Log'!B2:B51)=0,0,F6/COUNTA('Mining Log'!B2:B51))</f>
        <v>0</v>
      </c>
    </row>
    <row r="7" customFormat="false" ht="15" hidden="false" customHeight="false" outlineLevel="0" collapsed="false">
      <c r="A7" s="11" t="s">
        <v>109</v>
      </c>
      <c r="B7" s="7" t="n">
        <f aca="false">COUNTIF('Mining Log'!B2:B51,"Quorum")</f>
        <v>0</v>
      </c>
      <c r="C7" s="12" t="n">
        <f aca="false">IF(COUNTA('Mining Log'!B2:B51)=0,0,B7/COUNTA('Mining Log'!B2:B51))</f>
        <v>0</v>
      </c>
      <c r="D7" s="5"/>
      <c r="E7" s="11" t="s">
        <v>110</v>
      </c>
      <c r="F7" s="7" t="n">
        <f aca="false">COUNTIF('Mining Log'!E2:E51,"low")</f>
        <v>0</v>
      </c>
      <c r="G7" s="12" t="n">
        <f aca="false">IF(COUNTA('Mining Log'!B2:B51)=0,0,F7/COUNTA('Mining Log'!B2:B51))</f>
        <v>0</v>
      </c>
    </row>
    <row r="8" customFormat="false" ht="15" hidden="false" customHeight="false" outlineLevel="0" collapsed="false">
      <c r="A8" s="13" t="s">
        <v>52</v>
      </c>
      <c r="B8" s="9" t="n">
        <f aca="false">COUNTIF('Mining Log'!B2:B51,"Enverus")</f>
        <v>0</v>
      </c>
      <c r="C8" s="14" t="n">
        <f aca="false">IF(COUNTA('Mining Log'!B2:B51)=0,0,B8/COUNTA('Mining Log'!B2:B51))</f>
        <v>0</v>
      </c>
      <c r="D8" s="5"/>
      <c r="E8" s="5"/>
      <c r="F8" s="5"/>
      <c r="G8" s="5"/>
    </row>
    <row r="9" customFormat="false" ht="15" hidden="false" customHeight="false" outlineLevel="0" collapsed="false">
      <c r="A9" s="11" t="s">
        <v>54</v>
      </c>
      <c r="B9" s="7" t="n">
        <f aca="false">COUNTIF('Mining Log'!B2:B51,"PakEnergy")</f>
        <v>0</v>
      </c>
      <c r="C9" s="12" t="n">
        <f aca="false">IF(COUNTA('Mining Log'!B2:B51)=0,0,B9/COUNTA('Mining Log'!B2:B51))</f>
        <v>0</v>
      </c>
      <c r="D9" s="5"/>
      <c r="E9" s="5"/>
      <c r="F9" s="5"/>
      <c r="G9" s="5"/>
    </row>
    <row r="10" customFormat="false" ht="15" hidden="false" customHeight="false" outlineLevel="0" collapsed="false">
      <c r="A10" s="13" t="s">
        <v>111</v>
      </c>
      <c r="B10" s="9" t="n">
        <f aca="false">COUNTIF('Mining Log'!B2:B51,"Spreadsheet")</f>
        <v>0</v>
      </c>
      <c r="C10" s="14" t="n">
        <f aca="false">IF(COUNTA('Mining Log'!B2:B51)=0,0,B10/COUNTA('Mining Log'!B2:B51))</f>
        <v>0</v>
      </c>
      <c r="D10" s="5"/>
      <c r="E10" s="5"/>
      <c r="F10" s="5"/>
      <c r="G10" s="5"/>
    </row>
    <row r="11" customFormat="false" ht="15" hidden="false" customHeight="false" outlineLevel="0" collapsed="false">
      <c r="A11" s="11" t="s">
        <v>112</v>
      </c>
      <c r="B11" s="7" t="n">
        <f aca="false">COUNTIF('Mining Log'!B2:B51,"Other")</f>
        <v>0</v>
      </c>
      <c r="C11" s="12" t="n">
        <f aca="false">IF(COUNTA('Mining Log'!B2:B51)=0,0,B11/COUNTA('Mining Log'!B2:B51))</f>
        <v>0</v>
      </c>
      <c r="D11" s="5"/>
      <c r="E11" s="5"/>
      <c r="F11" s="5"/>
      <c r="G11" s="5"/>
    </row>
    <row r="12" customFormat="false" ht="15" hidden="false" customHeight="false" outlineLevel="0" collapsed="false">
      <c r="A12" s="13" t="s">
        <v>113</v>
      </c>
      <c r="B12" s="9" t="n">
        <f aca="false">COUNTIF('Mining Log'!B2:B51,"Unknown")</f>
        <v>0</v>
      </c>
      <c r="C12" s="14" t="n">
        <f aca="false">IF(COUNTA('Mining Log'!B2:B51)=0,0,B12/COUNTA('Mining Log'!B2:B51))</f>
        <v>0</v>
      </c>
      <c r="D12" s="5"/>
      <c r="E12" s="5"/>
      <c r="F12" s="5"/>
      <c r="G12" s="5"/>
    </row>
    <row r="13" customFormat="false" ht="15" hidden="false" customHeight="false" outlineLevel="0" collapsed="false">
      <c r="A13" s="15" t="s">
        <v>114</v>
      </c>
      <c r="B13" s="15" t="n">
        <f aca="false">COUNTA('Mining Log'!B2:B51)</f>
        <v>0</v>
      </c>
      <c r="C13" s="12" t="n">
        <f aca="false">B13/50</f>
        <v>0</v>
      </c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16" t="s">
        <v>115</v>
      </c>
      <c r="B16" s="5" t="n">
        <f aca="false">COUNTA('Mining Log'!B2:B51)</f>
        <v>0</v>
      </c>
      <c r="C16" s="5" t="s">
        <v>116</v>
      </c>
      <c r="D16" s="5"/>
      <c r="E16" s="5"/>
      <c r="F16" s="5"/>
      <c r="G16" s="5"/>
    </row>
    <row r="17" customFormat="false" ht="15" hidden="false" customHeight="false" outlineLevel="0" collapsed="false">
      <c r="A17" s="16" t="s">
        <v>117</v>
      </c>
      <c r="B17" s="17" t="n">
        <f aca="false">COUNTA('Mining Log'!B2:B51)/50</f>
        <v>0</v>
      </c>
      <c r="C17" s="5"/>
      <c r="D17" s="5"/>
      <c r="E17" s="5"/>
      <c r="F17" s="5"/>
      <c r="G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2026-05-06T23:44:00Z</dcterms:created>
  <dc:creator>openpyxl</dc:creator>
  <dc:description/>
  <dc:language>en-US</dc:language>
  <cp:lastModifiedBy/>
  <dcterms:modified xsi:type="dcterms:W3CDTF">2026-05-06T23:44:00Z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